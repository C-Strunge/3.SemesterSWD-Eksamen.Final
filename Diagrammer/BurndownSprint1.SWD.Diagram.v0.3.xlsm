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ThisWorkbook"/>
  <mc:AlternateContent xmlns:mc="http://schemas.openxmlformats.org/markup-compatibility/2006">
    <mc:Choice Requires="x15">
      <x15ac:absPath xmlns:x15ac="http://schemas.microsoft.com/office/spreadsheetml/2010/11/ac" url="/Users/matthiasskou/Desktop/3. SEMESTER SWD EKSAMEN/3-sem.-eksamen-SWD/Diagrammer/"/>
    </mc:Choice>
  </mc:AlternateContent>
  <xr:revisionPtr revIDLastSave="0" documentId="8_{696C3614-8A48-3A46-8B9D-2D8B7D173CE8}" xr6:coauthVersionLast="32" xr6:coauthVersionMax="32" xr10:uidLastSave="{00000000-0000-0000-0000-000000000000}"/>
  <workbookProtection workbookPassword="B126" lockStructure="1"/>
  <bookViews>
    <workbookView xWindow="0" yWindow="0" windowWidth="28800" windowHeight="18000" activeTab="1" xr2:uid="{00000000-000D-0000-FFFF-FFFF00000000}"/>
  </bookViews>
  <sheets>
    <sheet name="Burndown Chart" sheetId="1" r:id="rId1"/>
    <sheet name="Input" sheetId="3" r:id="rId2"/>
    <sheet name="Final Data" sheetId="4" state="veryHidden" r:id="rId3"/>
  </sheets>
  <functionGroups builtInGroupCount="19"/>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62913" iterateDelta="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4" l="1"/>
  <c r="A3" i="4"/>
  <c r="B5" i="4" l="1"/>
  <c r="B2" i="3" l="1"/>
  <c r="B2" i="4" l="1"/>
  <c r="B3" i="4"/>
  <c r="H1" i="4" l="1"/>
  <c r="BJ1" i="4"/>
  <c r="BI1" i="4"/>
  <c r="BH1" i="4"/>
  <c r="BG1" i="4"/>
  <c r="BF1" i="4"/>
  <c r="BE1" i="4"/>
  <c r="BD1" i="4"/>
  <c r="BC1" i="4"/>
  <c r="BB1"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G1" i="4"/>
  <c r="F1" i="4"/>
  <c r="E1" i="4"/>
  <c r="D1" i="4"/>
  <c r="C1" i="4"/>
  <c r="S4" i="4"/>
  <c r="X5" i="4" l="1"/>
  <c r="X4" i="4"/>
  <c r="J3" i="4"/>
  <c r="BD4" i="4"/>
  <c r="BD5" i="4"/>
  <c r="Y4" i="4"/>
  <c r="Y5" i="4"/>
  <c r="BG5" i="4"/>
  <c r="BG4" i="4"/>
  <c r="G3" i="4"/>
  <c r="AF4" i="4"/>
  <c r="AF5" i="4"/>
  <c r="AV5" i="4"/>
  <c r="AV4" i="4"/>
  <c r="Q3" i="4"/>
  <c r="AO4" i="4"/>
  <c r="AO5" i="4"/>
  <c r="BE5" i="4"/>
  <c r="BE4" i="4"/>
  <c r="Z4" i="4"/>
  <c r="Z5" i="4"/>
  <c r="AX4" i="4"/>
  <c r="AX5" i="4"/>
  <c r="K3" i="4"/>
  <c r="AI5" i="4"/>
  <c r="AI4" i="4"/>
  <c r="AY4" i="4"/>
  <c r="AY5" i="4"/>
  <c r="BH5" i="4"/>
  <c r="BH4" i="4"/>
  <c r="AK5" i="4"/>
  <c r="AK4" i="4"/>
  <c r="E3" i="4"/>
  <c r="AT4" i="4"/>
  <c r="AT5" i="4"/>
  <c r="BJ4" i="4"/>
  <c r="BJ5" i="4"/>
  <c r="P3" i="4"/>
  <c r="AN4" i="4"/>
  <c r="AN5" i="4"/>
  <c r="I3" i="4"/>
  <c r="AG5" i="4"/>
  <c r="AG4" i="4"/>
  <c r="AW4" i="4"/>
  <c r="AW5" i="4"/>
  <c r="R3" i="4"/>
  <c r="AH4" i="4"/>
  <c r="AH5" i="4"/>
  <c r="AP4" i="4"/>
  <c r="AP5" i="4"/>
  <c r="BF4" i="4"/>
  <c r="BF5" i="4"/>
  <c r="AA5" i="4"/>
  <c r="AA4" i="4"/>
  <c r="AQ5" i="4"/>
  <c r="AQ4" i="4"/>
  <c r="C3" i="4"/>
  <c r="L3" i="4"/>
  <c r="AB5" i="4"/>
  <c r="AB4" i="4"/>
  <c r="AJ4" i="4"/>
  <c r="AJ5" i="4"/>
  <c r="AR5" i="4"/>
  <c r="AR4" i="4"/>
  <c r="AZ4" i="4"/>
  <c r="AZ5" i="4"/>
  <c r="D3" i="4"/>
  <c r="M3" i="4"/>
  <c r="AC4" i="4"/>
  <c r="AC5" i="4"/>
  <c r="AS4" i="4"/>
  <c r="AS5" i="4"/>
  <c r="BA5" i="4"/>
  <c r="BA4" i="4"/>
  <c r="BI4" i="4"/>
  <c r="BI5" i="4"/>
  <c r="N3" i="4"/>
  <c r="AD4" i="4"/>
  <c r="AD5" i="4"/>
  <c r="AL5" i="4"/>
  <c r="AL4" i="4"/>
  <c r="BB5" i="4"/>
  <c r="BB4" i="4"/>
  <c r="F3" i="4"/>
  <c r="O3" i="4"/>
  <c r="W5" i="4"/>
  <c r="W4" i="4"/>
  <c r="AE5" i="4"/>
  <c r="AE4" i="4"/>
  <c r="AM5" i="4"/>
  <c r="AM4" i="4"/>
  <c r="AU5" i="4"/>
  <c r="AU4" i="4"/>
  <c r="BC5" i="4"/>
  <c r="BC4" i="4"/>
  <c r="H3"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s="1"/>
  <c r="E2" i="4" s="1"/>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S3" i="4"/>
  <c r="V4" i="4"/>
  <c r="U4" i="4"/>
  <c r="T4" i="4"/>
  <c r="N4" i="4"/>
  <c r="F4" i="4"/>
  <c r="H4" i="4"/>
  <c r="E4" i="4"/>
  <c r="P4" i="4"/>
  <c r="L4" i="4"/>
  <c r="O4" i="4"/>
  <c r="D4" i="4"/>
  <c r="K4" i="4"/>
  <c r="I4" i="4"/>
  <c r="J4" i="4"/>
  <c r="Q4" i="4"/>
  <c r="R4" i="4"/>
  <c r="C4" i="4"/>
  <c r="G4" i="4"/>
  <c r="M4" i="4"/>
  <c r="C5" i="4" l="1"/>
  <c r="D5" i="4" s="1"/>
  <c r="E5" i="4" s="1"/>
  <c r="F5" i="4" s="1"/>
  <c r="G5" i="4" s="1"/>
  <c r="H5" i="4" s="1"/>
  <c r="I5" i="4" s="1"/>
  <c r="J5" i="4" s="1"/>
  <c r="K5" i="4" s="1"/>
  <c r="L5" i="4" s="1"/>
  <c r="M5" i="4" s="1"/>
  <c r="N5" i="4" s="1"/>
  <c r="O5" i="4" s="1"/>
  <c r="P5" i="4" s="1"/>
  <c r="Q5" i="4" s="1"/>
  <c r="R5" i="4" s="1"/>
  <c r="S5" i="4" s="1"/>
  <c r="T5" i="4" s="1"/>
  <c r="U5" i="4" s="1"/>
  <c r="V5" i="4" s="1"/>
</calcChain>
</file>

<file path=xl/sharedStrings.xml><?xml version="1.0" encoding="utf-8"?>
<sst xmlns="http://schemas.openxmlformats.org/spreadsheetml/2006/main" count="25" uniqueCount="25">
  <si>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</si>
  <si>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</si>
  <si>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</si>
  <si>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</si>
  <si>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</si>
  <si>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</si>
  <si>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</si>
  <si>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</si>
  <si>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</si>
  <si>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</si>
  <si>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</si>
  <si>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US01.1</t>
  </si>
  <si>
    <t>US01.2</t>
  </si>
  <si>
    <t>US01.3</t>
  </si>
  <si>
    <t>US01.4</t>
  </si>
  <si>
    <t>US01.5</t>
  </si>
  <si>
    <t>US01.6</t>
  </si>
  <si>
    <t>US01.7</t>
  </si>
  <si>
    <t>US01.8</t>
  </si>
  <si>
    <t>US02.1</t>
  </si>
  <si>
    <t>US02.2</t>
  </si>
  <si>
    <t>US02.3</t>
  </si>
  <si>
    <t>US02.4</t>
  </si>
  <si>
    <t>US02.5</t>
  </si>
  <si>
    <t>US02.6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</si>
</sst>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d\-mmm\-yy;@"/>
    <numFmt numFmtId="165" formatCode="[$-409]d\-mmm\-yy;@"/>
  </numFmts>
  <fonts count="6"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1">
    <border>
      <left/>
      <right/>
      <top/>
      <bottom/>
      <diagonal/>
    </border>
  </borders>
  <cellStyleXfs count="1">
    <xf numFmtId="0" fontId="0" fillId="0" borderId="0"/>
  </cellStyleXfs>
  <cellXfs count="16">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cellXfs>
  <cellStyles count="1">
    <cellStyle name="Normal" xfId="0" builtinId="0"/>
  </cellStyles>
  <dxfs count="1">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da-DK"/>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[0]!PlannedE</c:f>
              <c:numCache>
                <c:formatCode>0</c:formatCode>
                <c:ptCount val="12"/>
                <c:pt idx="0">
                  <c:v>26.5</c:v>
                </c:pt>
                <c:pt idx="1">
                  <c:v>24.09090909090909</c:v>
                </c:pt>
                <c:pt idx="2">
                  <c:v>21.68181818181818</c:v>
                </c:pt>
                <c:pt idx="3">
                  <c:v>19.27272727272727</c:v>
                </c:pt>
                <c:pt idx="4">
                  <c:v>16.86363636363636</c:v>
                </c:pt>
                <c:pt idx="5">
                  <c:v>14.45454545454545</c:v>
                </c:pt>
                <c:pt idx="6">
                  <c:v>12.04545454545454</c:v>
                </c:pt>
                <c:pt idx="7">
                  <c:v>9.6363636363636296</c:v>
                </c:pt>
                <c:pt idx="8">
                  <c:v>7.2272727272727204</c:v>
                </c:pt>
                <c:pt idx="9">
                  <c:v>4.8181818181818112</c:v>
                </c:pt>
                <c:pt idx="10">
                  <c:v>2.4090909090909021</c:v>
                </c:pt>
                <c:pt idx="11">
                  <c:v>-7.1054273576010019E-15</c:v>
                </c:pt>
              </c:numCache>
            </c:numRef>
          </c:val>
          <c:smooth val="0"/>
          <c:extLst>
            <c:ext xmlns:c16="http://schemas.microsoft.com/office/drawing/2014/chart" uri="{C3380CC4-5D6E-409C-BE32-E72D297353CC}">
              <c16:uniqueId val="{00000000-10E6-414F-A8F4-B8FDF12932EF}"/>
            </c:ext>
          </c:extLst>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[0]!HoursR</c:f>
              <c:numCache>
                <c:formatCode>0</c:formatCode>
                <c:ptCount val="12"/>
                <c:pt idx="0">
                  <c:v>26.5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10E6-414F-A8F4-B8FDF12932EF}"/>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9106496"/>
        <c:axId val="469725096"/>
      </c:lineChart>
      <c:catAx>
        <c:axId val="469106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469725096"/>
        <c:crosses val="autoZero"/>
        <c:auto val="1"/>
        <c:lblAlgn val="ctr"/>
        <c:lblOffset val="100"/>
        <c:noMultiLvlLbl val="0"/>
      </c:catAx>
      <c:valAx>
        <c:axId val="469725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469106496"/>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da-DK"/>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da-DK"/>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[0]!HoursR</c:f>
              <c:numCache>
                <c:formatCode>0</c:formatCode>
                <c:ptCount val="12"/>
                <c:pt idx="0">
                  <c:v>26.5</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7B11-8B4E-BC14-1AC429DF1419}"/>
            </c:ext>
          </c:extLst>
        </c:ser>
        <c:dLbls>
          <c:showLegendKey val="0"/>
          <c:showVal val="0"/>
          <c:showCatName val="0"/>
          <c:showSerName val="0"/>
          <c:showPercent val="0"/>
          <c:showBubbleSize val="0"/>
        </c:dLbls>
        <c:gapWidth val="150"/>
        <c:axId val="469725880"/>
        <c:axId val="46972431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[0]!PlannedE</c:f>
              <c:numCache>
                <c:formatCode>0</c:formatCode>
                <c:ptCount val="12"/>
                <c:pt idx="0">
                  <c:v>26.5</c:v>
                </c:pt>
                <c:pt idx="1">
                  <c:v>24.09090909090909</c:v>
                </c:pt>
                <c:pt idx="2">
                  <c:v>21.68181818181818</c:v>
                </c:pt>
                <c:pt idx="3">
                  <c:v>19.27272727272727</c:v>
                </c:pt>
                <c:pt idx="4">
                  <c:v>16.86363636363636</c:v>
                </c:pt>
                <c:pt idx="5">
                  <c:v>14.45454545454545</c:v>
                </c:pt>
                <c:pt idx="6">
                  <c:v>12.04545454545454</c:v>
                </c:pt>
                <c:pt idx="7">
                  <c:v>9.6363636363636296</c:v>
                </c:pt>
                <c:pt idx="8">
                  <c:v>7.2272727272727204</c:v>
                </c:pt>
                <c:pt idx="9">
                  <c:v>4.8181818181818112</c:v>
                </c:pt>
                <c:pt idx="10">
                  <c:v>2.4090909090909021</c:v>
                </c:pt>
                <c:pt idx="11">
                  <c:v>-7.1054273576010019E-15</c:v>
                </c:pt>
              </c:numCache>
            </c:numRef>
          </c:val>
          <c:smooth val="0"/>
          <c:extLst>
            <c:ext xmlns:c16="http://schemas.microsoft.com/office/drawing/2014/chart" uri="{C3380CC4-5D6E-409C-BE32-E72D297353CC}">
              <c16:uniqueId val="{00000001-7B11-8B4E-BC14-1AC429DF1419}"/>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69725880"/>
        <c:axId val="469724312"/>
      </c:lineChart>
      <c:catAx>
        <c:axId val="469725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469724312"/>
        <c:crosses val="autoZero"/>
        <c:auto val="1"/>
        <c:lblAlgn val="ctr"/>
        <c:lblOffset val="100"/>
        <c:noMultiLvlLbl val="0"/>
      </c:catAx>
      <c:valAx>
        <c:axId val="4697243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469725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da-DK"/>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da-DK"/>
        </a:p>
      </c:txPr>
    </c:title>
    <c:autoTitleDeleted val="0"/>
    <c:plotArea>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[0]!HoursR</c:f>
              <c:numCache>
                <c:formatCode>0</c:formatCode>
                <c:ptCount val="12"/>
                <c:pt idx="0">
                  <c:v>26.5</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AC1-1740-A45A-7B4C03C20B7D}"/>
            </c:ext>
          </c:extLst>
        </c:ser>
        <c:dLbls>
          <c:showLegendKey val="0"/>
          <c:showVal val="0"/>
          <c:showCatName val="0"/>
          <c:showSerName val="0"/>
          <c:showPercent val="0"/>
          <c:showBubbleSize val="0"/>
        </c:dLbls>
        <c:axId val="467268456"/>
        <c:axId val="467271592"/>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[0]!PlannedE</c:f>
              <c:numCache>
                <c:formatCode>0</c:formatCode>
                <c:ptCount val="12"/>
                <c:pt idx="0">
                  <c:v>26.5</c:v>
                </c:pt>
                <c:pt idx="1">
                  <c:v>24.09090909090909</c:v>
                </c:pt>
                <c:pt idx="2">
                  <c:v>21.68181818181818</c:v>
                </c:pt>
                <c:pt idx="3">
                  <c:v>19.27272727272727</c:v>
                </c:pt>
                <c:pt idx="4">
                  <c:v>16.86363636363636</c:v>
                </c:pt>
                <c:pt idx="5">
                  <c:v>14.45454545454545</c:v>
                </c:pt>
                <c:pt idx="6">
                  <c:v>12.04545454545454</c:v>
                </c:pt>
                <c:pt idx="7">
                  <c:v>9.6363636363636296</c:v>
                </c:pt>
                <c:pt idx="8">
                  <c:v>7.2272727272727204</c:v>
                </c:pt>
                <c:pt idx="9">
                  <c:v>4.8181818181818112</c:v>
                </c:pt>
                <c:pt idx="10">
                  <c:v>2.4090909090909021</c:v>
                </c:pt>
                <c:pt idx="11">
                  <c:v>-7.1054273576010019E-15</c:v>
                </c:pt>
              </c:numCache>
            </c:numRef>
          </c:val>
          <c:smooth val="0"/>
          <c:extLst>
            <c:ext xmlns:c16="http://schemas.microsoft.com/office/drawing/2014/chart" uri="{C3380CC4-5D6E-409C-BE32-E72D297353CC}">
              <c16:uniqueId val="{00000001-0AC1-1740-A45A-7B4C03C20B7D}"/>
            </c:ext>
          </c:extLst>
        </c:ser>
        <c:dLbls>
          <c:showLegendKey val="0"/>
          <c:showVal val="0"/>
          <c:showCatName val="0"/>
          <c:showSerName val="0"/>
          <c:showPercent val="0"/>
          <c:showBubbleSize val="0"/>
        </c:dLbls>
        <c:marker val="1"/>
        <c:smooth val="0"/>
        <c:axId val="467268456"/>
        <c:axId val="467271592"/>
      </c:lineChart>
      <c:catAx>
        <c:axId val="4672684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467271592"/>
        <c:crosses val="autoZero"/>
        <c:auto val="1"/>
        <c:lblAlgn val="ctr"/>
        <c:lblOffset val="100"/>
        <c:noMultiLvlLbl val="0"/>
      </c:catAx>
      <c:valAx>
        <c:axId val="46727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4672684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da-DK"/>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da-DK"/>
        </a:p>
      </c:txPr>
    </c:title>
    <c:autoTitleDeleted val="0"/>
    <c:plotArea>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[0]!PlannedE</c:f>
              <c:numCache>
                <c:formatCode>0</c:formatCode>
                <c:ptCount val="12"/>
                <c:pt idx="0">
                  <c:v>26.5</c:v>
                </c:pt>
                <c:pt idx="1">
                  <c:v>24.09090909090909</c:v>
                </c:pt>
                <c:pt idx="2">
                  <c:v>21.68181818181818</c:v>
                </c:pt>
                <c:pt idx="3">
                  <c:v>19.27272727272727</c:v>
                </c:pt>
                <c:pt idx="4">
                  <c:v>16.86363636363636</c:v>
                </c:pt>
                <c:pt idx="5">
                  <c:v>14.45454545454545</c:v>
                </c:pt>
                <c:pt idx="6">
                  <c:v>12.04545454545454</c:v>
                </c:pt>
                <c:pt idx="7">
                  <c:v>9.6363636363636296</c:v>
                </c:pt>
                <c:pt idx="8">
                  <c:v>7.2272727272727204</c:v>
                </c:pt>
                <c:pt idx="9">
                  <c:v>4.8181818181818112</c:v>
                </c:pt>
                <c:pt idx="10">
                  <c:v>2.4090909090909021</c:v>
                </c:pt>
                <c:pt idx="11">
                  <c:v>-7.1054273576010019E-15</c:v>
                </c:pt>
              </c:numCache>
            </c:numRef>
          </c:val>
          <c:extLst>
            <c:ext xmlns:c16="http://schemas.microsoft.com/office/drawing/2014/chart" uri="{C3380CC4-5D6E-409C-BE32-E72D297353CC}">
              <c16:uniqueId val="{00000000-CE86-B04C-A223-773E5C4A17D6}"/>
            </c:ext>
          </c:extLst>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[0]!HoursR</c:f>
              <c:numCache>
                <c:formatCode>0</c:formatCode>
                <c:ptCount val="12"/>
                <c:pt idx="0">
                  <c:v>26.5</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CE86-B04C-A223-773E5C4A17D6}"/>
            </c:ext>
          </c:extLst>
        </c:ser>
        <c:dLbls>
          <c:showLegendKey val="0"/>
          <c:showVal val="0"/>
          <c:showCatName val="0"/>
          <c:showSerName val="0"/>
          <c:showPercent val="0"/>
          <c:showBubbleSize val="0"/>
        </c:dLbls>
        <c:gapWidth val="150"/>
        <c:axId val="467270808"/>
        <c:axId val="157314904"/>
      </c:barChart>
      <c:catAx>
        <c:axId val="467270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157314904"/>
        <c:crosses val="autoZero"/>
        <c:auto val="1"/>
        <c:lblAlgn val="ctr"/>
        <c:lblOffset val="100"/>
        <c:noMultiLvlLbl val="0"/>
      </c:catAx>
      <c:valAx>
        <c:axId val="1573149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4672708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da-DK"/>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eforexcel.com/wp" TargetMode="Externa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57150</xdr:colOff>
      <xdr:row>3</xdr:row>
      <xdr:rowOff>76200</xdr:rowOff>
    </xdr:from>
    <xdr:to>
      <xdr:col>10</xdr:col>
      <xdr:colOff>76200</xdr:colOff>
      <xdr:row>22</xdr:row>
      <xdr:rowOff>47625</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3</xdr:col>
      <xdr:colOff>521040</xdr:colOff>
      <xdr:row>2</xdr:row>
      <xdr:rowOff>21336</xdr:rowOff>
    </xdr:to>
    <xdr:pic>
      <xdr:nvPicPr>
        <xdr:cNvPr id="3" name="Picture 2">
          <a:hlinkClick xmlns:r="http://schemas.openxmlformats.org/officeDocument/2006/relationships" r:id="rId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2349840" cy="402336"/>
        </a:xfrm>
        <a:prstGeom prst="rect">
          <a:avLst/>
        </a:prstGeom>
      </xdr:spPr>
    </xdr:pic>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10</xdr:col>
      <xdr:colOff>161925</xdr:colOff>
      <xdr:row>3</xdr:row>
      <xdr:rowOff>76200</xdr:rowOff>
    </xdr:from>
    <xdr:to>
      <xdr:col>19</xdr:col>
      <xdr:colOff>447675</xdr:colOff>
      <xdr:row>22</xdr:row>
      <xdr:rowOff>47625</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66675</xdr:colOff>
      <xdr:row>23</xdr:row>
      <xdr:rowOff>180975</xdr:rowOff>
    </xdr:from>
    <xdr:to>
      <xdr:col>10</xdr:col>
      <xdr:colOff>85725</xdr:colOff>
      <xdr:row>42</xdr:row>
      <xdr:rowOff>152400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23</xdr:row>
      <xdr:rowOff>180975</xdr:rowOff>
    </xdr:from>
    <xdr:to>
      <xdr:col>19</xdr:col>
      <xdr:colOff>457200</xdr:colOff>
      <xdr:row>42</xdr:row>
      <xdr:rowOff>152400</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127000</xdr:rowOff>
        </xdr:from>
        <xdr:to>
          <xdr:col>1</xdr:col>
          <xdr:colOff>838200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2000" b="0" i="0" u="none" strike="noStrike" baseline="0">
                  <a:solidFill>
                    <a:srgbClr val="000000"/>
                  </a:solidFill>
                  <a:latin typeface="Calibri" pitchFamily="2" charset="0"/>
                  <a:cs typeface="Calibri" pitchFamily="2" charset="0"/>
                </a:rPr>
                <a:t>Clear Old Data</a:t>
              </a:r>
              <a:endParaRPr lang="da-DK" sz="1100" b="0" i="0" u="none" strike="noStrike" baseline="0">
                <a:solidFill>
                  <a:srgbClr val="000000"/>
                </a:solidFill>
                <a:latin typeface="Calibri" pitchFamily="2" charset="0"/>
                <a:cs typeface="Calibri" pitchFamily="2" charset="0"/>
              </a:endParaRPr>
            </a:p>
            <a:p>
              <a:pPr algn="ctr" rtl="0">
                <a:defRPr sz="1000"/>
              </a:pPr>
              <a:r>
                <a:rPr lang="da-DK" sz="1100" b="0" i="0" u="none" strike="noStrike" baseline="0">
                  <a:solidFill>
                    <a:srgbClr val="000000"/>
                  </a:solidFill>
                  <a:latin typeface="Calibri" pitchFamily="2" charset="0"/>
                  <a:cs typeface="Calibri" pitchFamily="2" charset="0"/>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L3"/>
  <sheetViews>
    <sheetView workbookViewId="0">
      <selection activeCell="I3" sqref="I3"/>
    </sheetView>
  </sheetViews>
  <sheetFormatPr baseColWidth="10" defaultColWidth="8.83203125" defaultRowHeight="15" x14ac:dyDescent="0.2"/>
  <cols>
    <col min="11" max="11" width="2.5" customWidth="1"/>
    <col min="12" max="12" width="20.83203125" bestFit="1" customWidth="1"/>
  </cols>
  <sheetData>
    <row r="1" spans="4:12" x14ac:dyDescent="0.2">
      <c r="D1" s="10" t="s">
        <v>4</v>
      </c>
      <c r="E1" s="11"/>
      <c r="F1" s="11"/>
      <c r="G1" s="11"/>
      <c r="H1" s="11"/>
      <c r="I1" s="11"/>
      <c r="J1" s="12"/>
      <c r="L1" s="9" t="s">
        <v>7</v>
      </c>
    </row>
    <row r="2" spans="4:12" x14ac:dyDescent="0.2">
      <c r="D2" s="11"/>
      <c r="E2" s="11"/>
      <c r="F2" s="11"/>
      <c r="G2" s="11"/>
      <c r="H2" s="11"/>
      <c r="I2" s="11"/>
      <c r="J2" s="12"/>
      <c r="L2" s="1" t="s">
        <v>0</v>
      </c>
    </row>
    <row r="3" spans="4:12" x14ac:dyDescent="0.2">
      <c r="L3" s="1" t="s">
        <v>2</v>
      </c>
    </row>
  </sheetData>
  <mergeCells count="1">
    <mergeCell ref="D1:J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03"/>
  <sheetViews>
    <sheetView tabSelected="1" zoomScale="125" workbookViewId="0">
      <pane ySplit="2" topLeftCell="A3" activePane="bottomLeft" state="frozen"/>
      <selection pane="bottomLeft" activeCell="M18" sqref="M18"/>
    </sheetView>
  </sheetViews>
  <sheetFormatPr baseColWidth="10" defaultColWidth="0" defaultRowHeight="15" zeroHeight="1" x14ac:dyDescent="0.2"/>
  <cols>
    <col min="1" max="1" width="19.6640625" customWidth="1"/>
    <col min="2" max="2" width="13.83203125" customWidth="1"/>
    <col min="3" max="62" width="9.1640625" customWidth="1"/>
    <col min="63" max="16384" width="9.1640625" hidden="1"/>
  </cols>
  <sheetData>
    <row r="1" spans="1:62" ht="60" customHeight="1" x14ac:dyDescent="0.2">
      <c r="C1" s="13" t="s">
        <v>9</v>
      </c>
      <c r="D1" s="13"/>
      <c r="E1" s="13"/>
      <c r="F1" s="13"/>
      <c r="G1" s="13"/>
      <c r="H1" s="13"/>
      <c r="I1" s="13"/>
      <c r="J1" s="13"/>
      <c r="K1" s="13"/>
      <c r="L1" s="13"/>
      <c r="M1" s="13"/>
      <c r="N1" s="14" t="s">
        <v>10</v>
      </c>
      <c r="O1" s="15"/>
      <c r="P1" s="15"/>
      <c r="Q1" s="15"/>
      <c r="R1" s="15"/>
      <c r="S1" s="15"/>
      <c r="T1" s="12"/>
    </row>
    <row r="2" spans="1:62" s="1" customFormat="1" x14ac:dyDescent="0.2">
      <c r="A2" s="5" t="s">
        <v>8</v>
      </c>
      <c r="B2" s="5" t="str">
        <f>IF('Burndown Chart'!$L$2="","Planned Effort",'Burndown Chart'!$L$2)</f>
        <v>Planned Effort</v>
      </c>
      <c r="C2" s="5">
        <v>43434</v>
      </c>
      <c r="D2" s="5">
        <v>43435</v>
      </c>
      <c r="E2" s="5">
        <v>43436</v>
      </c>
      <c r="F2" s="5">
        <v>43437</v>
      </c>
      <c r="G2" s="5">
        <v>43438</v>
      </c>
      <c r="H2" s="5">
        <v>43439</v>
      </c>
      <c r="I2" s="5">
        <v>43440</v>
      </c>
      <c r="J2" s="5">
        <v>43441</v>
      </c>
      <c r="K2" s="5">
        <v>43442</v>
      </c>
      <c r="L2" s="5">
        <v>43443</v>
      </c>
      <c r="M2" s="5">
        <v>43444</v>
      </c>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x14ac:dyDescent="0.2">
      <c r="A3" t="s">
        <v>11</v>
      </c>
      <c r="B3">
        <v>1</v>
      </c>
      <c r="C3" s="3">
        <v>0</v>
      </c>
      <c r="D3" s="3">
        <v>0</v>
      </c>
      <c r="E3" s="3">
        <v>0</v>
      </c>
      <c r="F3" s="3">
        <v>0</v>
      </c>
      <c r="G3" s="3">
        <v>0</v>
      </c>
      <c r="H3" s="3">
        <v>0</v>
      </c>
      <c r="I3" s="3">
        <v>0</v>
      </c>
      <c r="J3" s="3">
        <v>0</v>
      </c>
      <c r="K3" s="3">
        <v>0</v>
      </c>
      <c r="L3" s="3">
        <v>0</v>
      </c>
      <c r="M3" s="3">
        <v>0</v>
      </c>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x14ac:dyDescent="0.2">
      <c r="A4" t="s">
        <v>12</v>
      </c>
      <c r="B4">
        <v>1.5</v>
      </c>
      <c r="C4" s="3">
        <v>0</v>
      </c>
      <c r="D4" s="3">
        <v>0</v>
      </c>
      <c r="E4" s="3">
        <v>0</v>
      </c>
      <c r="F4" s="3">
        <v>0</v>
      </c>
      <c r="G4" s="3">
        <v>0</v>
      </c>
      <c r="H4" s="3">
        <v>0</v>
      </c>
      <c r="I4" s="3">
        <v>0</v>
      </c>
      <c r="J4" s="3">
        <v>0</v>
      </c>
      <c r="K4" s="3">
        <v>0</v>
      </c>
      <c r="L4" s="3">
        <v>0</v>
      </c>
      <c r="M4" s="3">
        <v>0</v>
      </c>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x14ac:dyDescent="0.2">
      <c r="A5" t="s">
        <v>13</v>
      </c>
      <c r="B5">
        <v>1.5</v>
      </c>
      <c r="C5" s="3">
        <v>0</v>
      </c>
      <c r="D5" s="3">
        <v>0</v>
      </c>
      <c r="E5" s="3">
        <v>0</v>
      </c>
      <c r="F5" s="3">
        <v>0</v>
      </c>
      <c r="G5" s="3">
        <v>0</v>
      </c>
      <c r="H5" s="3">
        <v>0</v>
      </c>
      <c r="I5" s="3">
        <v>0</v>
      </c>
      <c r="J5" s="3">
        <v>0</v>
      </c>
      <c r="K5" s="3">
        <v>0</v>
      </c>
      <c r="L5" s="3">
        <v>0</v>
      </c>
      <c r="M5" s="3">
        <v>0</v>
      </c>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x14ac:dyDescent="0.2">
      <c r="A6" t="s">
        <v>14</v>
      </c>
      <c r="B6">
        <v>2.5</v>
      </c>
      <c r="C6" s="3">
        <v>0</v>
      </c>
      <c r="D6" s="3">
        <v>0</v>
      </c>
      <c r="E6" s="3">
        <v>0</v>
      </c>
      <c r="F6" s="3">
        <v>0</v>
      </c>
      <c r="G6" s="3">
        <v>0</v>
      </c>
      <c r="H6" s="3">
        <v>0</v>
      </c>
      <c r="I6" s="3">
        <v>0</v>
      </c>
      <c r="J6" s="3">
        <v>0</v>
      </c>
      <c r="K6" s="3">
        <v>0</v>
      </c>
      <c r="L6" s="3">
        <v>0</v>
      </c>
      <c r="M6" s="3">
        <v>0</v>
      </c>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x14ac:dyDescent="0.2">
      <c r="A7" t="s">
        <v>15</v>
      </c>
      <c r="B7">
        <v>2</v>
      </c>
      <c r="C7" s="3">
        <v>0</v>
      </c>
      <c r="D7" s="3">
        <v>0</v>
      </c>
      <c r="E7" s="3">
        <v>0</v>
      </c>
      <c r="F7" s="3">
        <v>0</v>
      </c>
      <c r="G7" s="3">
        <v>0</v>
      </c>
      <c r="H7" s="3">
        <v>0</v>
      </c>
      <c r="I7" s="3">
        <v>0</v>
      </c>
      <c r="J7" s="3">
        <v>0</v>
      </c>
      <c r="K7" s="3">
        <v>0</v>
      </c>
      <c r="L7" s="3">
        <v>0</v>
      </c>
      <c r="M7" s="3">
        <v>0</v>
      </c>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x14ac:dyDescent="0.2">
      <c r="A8" t="s">
        <v>16</v>
      </c>
      <c r="B8">
        <v>3.5</v>
      </c>
      <c r="C8" s="3">
        <v>0</v>
      </c>
      <c r="D8" s="3">
        <v>0</v>
      </c>
      <c r="E8" s="3">
        <v>0</v>
      </c>
      <c r="F8" s="3">
        <v>0</v>
      </c>
      <c r="G8" s="3">
        <v>0</v>
      </c>
      <c r="H8" s="3">
        <v>0</v>
      </c>
      <c r="I8" s="3">
        <v>0</v>
      </c>
      <c r="J8" s="3">
        <v>0</v>
      </c>
      <c r="K8" s="3">
        <v>0</v>
      </c>
      <c r="L8" s="3">
        <v>0</v>
      </c>
      <c r="M8" s="3">
        <v>0</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x14ac:dyDescent="0.2">
      <c r="A9" t="s">
        <v>17</v>
      </c>
      <c r="B9">
        <v>1.5</v>
      </c>
      <c r="C9" s="3">
        <v>0</v>
      </c>
      <c r="D9" s="3">
        <v>0</v>
      </c>
      <c r="E9" s="3">
        <v>0</v>
      </c>
      <c r="F9" s="3">
        <v>0</v>
      </c>
      <c r="G9" s="3">
        <v>0</v>
      </c>
      <c r="H9" s="3">
        <v>0</v>
      </c>
      <c r="I9" s="3">
        <v>0</v>
      </c>
      <c r="J9" s="3">
        <v>0</v>
      </c>
      <c r="K9" s="3">
        <v>0</v>
      </c>
      <c r="L9" s="3">
        <v>0</v>
      </c>
      <c r="M9" s="3">
        <v>0</v>
      </c>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x14ac:dyDescent="0.2">
      <c r="A10" t="s">
        <v>18</v>
      </c>
      <c r="B10">
        <v>2.5</v>
      </c>
      <c r="C10" s="3">
        <v>0</v>
      </c>
      <c r="D10" s="3">
        <v>0</v>
      </c>
      <c r="E10" s="3">
        <v>0</v>
      </c>
      <c r="F10" s="3">
        <v>0</v>
      </c>
      <c r="G10" s="3">
        <v>0</v>
      </c>
      <c r="H10" s="3">
        <v>0</v>
      </c>
      <c r="I10" s="3">
        <v>0</v>
      </c>
      <c r="J10" s="3">
        <v>0</v>
      </c>
      <c r="K10" s="3">
        <v>0</v>
      </c>
      <c r="L10" s="3">
        <v>0</v>
      </c>
      <c r="M10" s="3">
        <v>0</v>
      </c>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x14ac:dyDescent="0.2">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x14ac:dyDescent="0.2">
      <c r="A12" t="s">
        <v>19</v>
      </c>
      <c r="B12">
        <v>1</v>
      </c>
      <c r="C12" s="3">
        <v>0</v>
      </c>
      <c r="D12" s="3">
        <v>0</v>
      </c>
      <c r="E12" s="3">
        <v>0</v>
      </c>
      <c r="F12" s="3">
        <v>0</v>
      </c>
      <c r="G12" s="3">
        <v>0</v>
      </c>
      <c r="H12" s="3">
        <v>0</v>
      </c>
      <c r="I12" s="3">
        <v>0</v>
      </c>
      <c r="J12" s="3">
        <v>0</v>
      </c>
      <c r="K12" s="3">
        <v>0</v>
      </c>
      <c r="L12" s="3">
        <v>0</v>
      </c>
      <c r="M12" s="3">
        <v>0</v>
      </c>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x14ac:dyDescent="0.2">
      <c r="A13" t="s">
        <v>20</v>
      </c>
      <c r="B13">
        <v>1</v>
      </c>
      <c r="C13" s="3">
        <v>0</v>
      </c>
      <c r="D13" s="3">
        <v>0</v>
      </c>
      <c r="E13" s="3">
        <v>0</v>
      </c>
      <c r="F13" s="3">
        <v>0</v>
      </c>
      <c r="G13" s="3">
        <v>0</v>
      </c>
      <c r="H13" s="3">
        <v>0</v>
      </c>
      <c r="I13" s="3">
        <v>0</v>
      </c>
      <c r="J13" s="3">
        <v>0</v>
      </c>
      <c r="K13" s="3">
        <v>0</v>
      </c>
      <c r="L13" s="3">
        <v>0</v>
      </c>
      <c r="M13" s="3">
        <v>0</v>
      </c>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x14ac:dyDescent="0.2">
      <c r="A14" t="s">
        <v>21</v>
      </c>
      <c r="B14">
        <v>1.5</v>
      </c>
      <c r="C14" s="3">
        <v>0</v>
      </c>
      <c r="D14" s="3">
        <v>0</v>
      </c>
      <c r="E14" s="3">
        <v>0</v>
      </c>
      <c r="F14" s="3">
        <v>0</v>
      </c>
      <c r="G14" s="3">
        <v>0</v>
      </c>
      <c r="H14" s="3">
        <v>0</v>
      </c>
      <c r="I14" s="3">
        <v>0</v>
      </c>
      <c r="J14" s="3">
        <v>0</v>
      </c>
      <c r="K14" s="3">
        <v>0</v>
      </c>
      <c r="L14" s="3">
        <v>0</v>
      </c>
      <c r="M14" s="3">
        <v>0</v>
      </c>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x14ac:dyDescent="0.2">
      <c r="A15" t="s">
        <v>22</v>
      </c>
      <c r="B15">
        <v>0.5</v>
      </c>
      <c r="C15" s="3">
        <v>0</v>
      </c>
      <c r="D15" s="3">
        <v>0</v>
      </c>
      <c r="E15" s="3">
        <v>0</v>
      </c>
      <c r="F15" s="3">
        <v>0</v>
      </c>
      <c r="G15" s="3">
        <v>0</v>
      </c>
      <c r="H15" s="3">
        <v>0</v>
      </c>
      <c r="I15" s="3">
        <v>0</v>
      </c>
      <c r="J15" s="3">
        <v>0</v>
      </c>
      <c r="K15" s="3">
        <v>0</v>
      </c>
      <c r="L15" s="3">
        <v>0</v>
      </c>
      <c r="M15" s="3">
        <v>0</v>
      </c>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x14ac:dyDescent="0.2">
      <c r="A16" t="s">
        <v>23</v>
      </c>
      <c r="B16">
        <v>3</v>
      </c>
      <c r="C16" s="3">
        <v>0</v>
      </c>
      <c r="D16" s="3">
        <v>0</v>
      </c>
      <c r="E16" s="3">
        <v>0</v>
      </c>
      <c r="F16" s="3">
        <v>0</v>
      </c>
      <c r="G16" s="3">
        <v>0</v>
      </c>
      <c r="H16" s="3">
        <v>0</v>
      </c>
      <c r="I16" s="3">
        <v>0</v>
      </c>
      <c r="J16" s="3">
        <v>0</v>
      </c>
      <c r="K16" s="3">
        <v>0</v>
      </c>
      <c r="L16" s="3">
        <v>0</v>
      </c>
      <c r="M16" s="3">
        <v>0</v>
      </c>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x14ac:dyDescent="0.2">
      <c r="A17" t="s">
        <v>24</v>
      </c>
      <c r="B17">
        <v>3.5</v>
      </c>
      <c r="C17" s="3">
        <v>0</v>
      </c>
      <c r="D17" s="3">
        <v>0</v>
      </c>
      <c r="E17" s="3">
        <v>0</v>
      </c>
      <c r="F17" s="3">
        <v>0</v>
      </c>
      <c r="G17" s="3">
        <v>0</v>
      </c>
      <c r="H17" s="3">
        <v>0</v>
      </c>
      <c r="I17" s="3">
        <v>0</v>
      </c>
      <c r="J17" s="3">
        <v>0</v>
      </c>
      <c r="K17" s="3">
        <v>0</v>
      </c>
      <c r="L17" s="3">
        <v>0</v>
      </c>
      <c r="M17" s="3">
        <v>0</v>
      </c>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x14ac:dyDescent="0.2">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x14ac:dyDescent="0.2">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x14ac:dyDescent="0.2">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x14ac:dyDescent="0.2">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1:62" x14ac:dyDescent="0.2">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x14ac:dyDescent="0.2">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x14ac:dyDescent="0.2">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x14ac:dyDescent="0.2">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x14ac:dyDescent="0.2">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x14ac:dyDescent="0.2">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x14ac:dyDescent="0.2">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x14ac:dyDescent="0.2">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x14ac:dyDescent="0.2">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2">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2">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2">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2">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2">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2">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2">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2">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2">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2">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2">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2">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2">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2">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2">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2">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2">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2">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2">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2">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2">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2">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2">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2">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2">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2">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2">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2">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2">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2">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2">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2">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2">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2">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2">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2">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2">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2">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2">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2">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2">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2">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2">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2">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2">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2">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2">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2">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2">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2">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2">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2">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2">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2">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2">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2">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2">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2">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2">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2">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2">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2">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2">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2">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2">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2">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2">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2">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2">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2">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2">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2">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2">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2">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2">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2">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2">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2">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2">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2">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2">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2">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2">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2">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2">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2">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2">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2">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2">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2">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2">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2">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2">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2">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2">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2">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2">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2">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2">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2">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2">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2">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2">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2">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2">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2">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2">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2">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2">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2">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2">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2">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2">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2">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2">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2">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2">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2">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2">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2">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2">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2">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2">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2">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2">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2">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2">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2">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2">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2">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2">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2">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2">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2">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2">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2">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2">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2">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2">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2">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2">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2">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2">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2">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2">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2">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2">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2">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2">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2">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2">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2">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2">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2">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2">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2">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2">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2">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2">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2">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2">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2">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2">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2">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2">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2">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2">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2">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2">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2">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x14ac:dyDescent="0.2">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row>
    <row r="202" spans="3:62" x14ac:dyDescent="0.2">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row>
    <row r="203" spans="3:62" hidden="1" x14ac:dyDescent="0.2"/>
  </sheetData>
  <mergeCells count="2">
    <mergeCell ref="C1:M1"/>
    <mergeCell ref="N1:T1"/>
  </mergeCells>
  <conditionalFormatting sqref="C2:BJ2">
    <cfRule type="expression" dxfId="0" priority="1">
      <formula>AND(C$2&lt;&gt;"",WEEKDAY(C$2,2)&gt;5)</formula>
    </cfRule>
  </conditionalFormatting>
  <dataValidations count="3">
    <dataValidation type="date" allowBlank="1" showInputMessage="1" showErrorMessage="1" errorTitle="Erorr in the Date Entry" error="Only a valid date between 1-Jan-2015 to 31-Dec-9999 is permitted" promptTitle="Date Entry" prompt="Enter a valid date between 1-Jan-2015 to 31-Dec-9999." sqref="C2:BJ2" xr:uid="{00000000-0002-0000-0100-000000000000}">
      <formula1>42005</formula1>
      <formula2>2958465</formula2>
    </dataValidation>
    <dataValidation type="decimal" operator="greaterThanOrEqual" allowBlank="1" showInputMessage="1" showErrorMessage="1" errorTitle="Entry Error" error="Planned Effort Should be &gt;=0" sqref="B3:B202" xr:uid="{00000000-0002-0000-0100-000001000000}">
      <formula1>0</formula1>
    </dataValidation>
    <dataValidation type="custom" showInputMessage="1" showErrorMessage="1" errorTitle="Input Error" error="Read the Validations Rules to Input Right Data" sqref="C3:BJ202" xr:uid="{00000000-0002-0000-0100-000002000000}">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127000</xdr:rowOff>
                  </from>
                  <to>
                    <xdr:col>1</xdr:col>
                    <xdr:colOff>838200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14"/>
  <sheetViews>
    <sheetView workbookViewId="0">
      <selection activeCell="A2" sqref="A2"/>
    </sheetView>
  </sheetViews>
  <sheetFormatPr baseColWidth="10" defaultColWidth="0" defaultRowHeight="15" x14ac:dyDescent="0.2"/>
  <cols>
    <col min="1" max="1" width="16" style="1" bestFit="1" customWidth="1"/>
    <col min="2" max="2" width="9.5" style="2" customWidth="1"/>
    <col min="3" max="62" width="9.1640625" customWidth="1"/>
    <col min="63" max="16384" width="9.1640625" hidden="1"/>
  </cols>
  <sheetData>
    <row r="1" spans="1:62" s="1" customFormat="1" x14ac:dyDescent="0.2">
      <c r="A1" s="1" t="s">
        <v>1</v>
      </c>
      <c r="B1" s="1" t="s">
        <v>3</v>
      </c>
      <c r="C1" s="8">
        <f>IF(Input!C$2="","",Input!C$2)</f>
        <v>43434</v>
      </c>
      <c r="D1" s="8">
        <f>IF(Input!D$2="","",Input!D$2)</f>
        <v>43435</v>
      </c>
      <c r="E1" s="8">
        <f>IF(Input!E$2="","",Input!E$2)</f>
        <v>43436</v>
      </c>
      <c r="F1" s="8">
        <f>IF(Input!F$2="","",Input!F$2)</f>
        <v>43437</v>
      </c>
      <c r="G1" s="8">
        <f>IF(Input!G$2="","",Input!G$2)</f>
        <v>43438</v>
      </c>
      <c r="H1" s="8">
        <f>IF(Input!H$2="","",Input!H$2)</f>
        <v>43439</v>
      </c>
      <c r="I1" s="8">
        <f>IF(Input!I$2="","",Input!I$2)</f>
        <v>43440</v>
      </c>
      <c r="J1" s="8">
        <f>IF(Input!J$2="","",Input!J$2)</f>
        <v>43441</v>
      </c>
      <c r="K1" s="8">
        <f>IF(Input!K$2="","",Input!K$2)</f>
        <v>43442</v>
      </c>
      <c r="L1" s="8">
        <f>IF(Input!L$2="","",Input!L$2)</f>
        <v>43443</v>
      </c>
      <c r="M1" s="8">
        <f>IF(Input!M$2="","",Input!M$2)</f>
        <v>43444</v>
      </c>
      <c r="N1" s="8" t="str">
        <f>IF(Input!N$2="","",Input!N$2)</f>
        <v/>
      </c>
      <c r="O1" s="8" t="str">
        <f>IF(Input!O$2="","",Input!O$2)</f>
        <v/>
      </c>
      <c r="P1" s="8" t="str">
        <f>IF(Input!P$2="","",Input!P$2)</f>
        <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2">
      <c r="A2" s="6" t="str">
        <f>IF('Burndown Chart'!$L$2="","Planned Effort",'Burndown Chart'!$L$2)</f>
        <v>Planned Effort</v>
      </c>
      <c r="B2" s="7">
        <f>SUM(Input!$B$3:$B$202)</f>
        <v>26.5</v>
      </c>
      <c r="C2" s="4">
        <f t="shared" ref="C2:AH2" si="0">IF(C$1="","",B$2-$B$2/(SUMPRODUCT(--($C$1:$BJ$1&lt;&gt;""))))</f>
        <v>24.09090909090909</v>
      </c>
      <c r="D2" s="4">
        <f t="shared" si="0"/>
        <v>21.68181818181818</v>
      </c>
      <c r="E2" s="4">
        <f t="shared" si="0"/>
        <v>19.27272727272727</v>
      </c>
      <c r="F2" s="4">
        <f t="shared" si="0"/>
        <v>16.86363636363636</v>
      </c>
      <c r="G2" s="4">
        <f t="shared" si="0"/>
        <v>14.45454545454545</v>
      </c>
      <c r="H2" s="4">
        <f t="shared" si="0"/>
        <v>12.04545454545454</v>
      </c>
      <c r="I2" s="4">
        <f t="shared" si="0"/>
        <v>9.6363636363636296</v>
      </c>
      <c r="J2" s="4">
        <f t="shared" si="0"/>
        <v>7.2272727272727204</v>
      </c>
      <c r="K2" s="4">
        <f t="shared" si="0"/>
        <v>4.8181818181818112</v>
      </c>
      <c r="L2" s="4">
        <f t="shared" si="0"/>
        <v>2.4090909090909021</v>
      </c>
      <c r="M2" s="4">
        <f t="shared" si="0"/>
        <v>-7.1054273576010019E-15</v>
      </c>
      <c r="N2" s="4" t="str">
        <f t="shared" si="0"/>
        <v/>
      </c>
      <c r="O2" s="4" t="str">
        <f t="shared" si="0"/>
        <v/>
      </c>
      <c r="P2" s="4" t="str">
        <f t="shared" si="0"/>
        <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2">
      <c r="A3" s="6" t="str">
        <f>IF('Burndown Chart'!$L$3="","Hours Remaining",'Burndown Chart'!$L$3)</f>
        <v>Hours Remaining</v>
      </c>
      <c r="B3" s="7">
        <f>SUM(Input!$B$3:$B$202)</f>
        <v>26.5</v>
      </c>
      <c r="C3" s="4">
        <f>IF(C$1="","",SUM(Input!C$3:C$202))</f>
        <v>0</v>
      </c>
      <c r="D3" s="4">
        <f>IF(D$1="","",SUM(Input!D$3:D$202))</f>
        <v>0</v>
      </c>
      <c r="E3" s="4">
        <f>IF(E$1="","",SUM(Input!E$3:E$202))</f>
        <v>0</v>
      </c>
      <c r="F3" s="4">
        <f>IF(F$1="","",SUM(Input!F$3:F$202))</f>
        <v>0</v>
      </c>
      <c r="G3" s="4">
        <f>IF(G$1="","",SUM(Input!G$3:G$202))</f>
        <v>0</v>
      </c>
      <c r="H3" s="4">
        <f>IF(H$1="","",SUM(Input!H$3:H$202))</f>
        <v>0</v>
      </c>
      <c r="I3" s="4">
        <f>IF(I$1="","",SUM(Input!I$3:I$202))</f>
        <v>0</v>
      </c>
      <c r="J3" s="4">
        <f>IF(J$1="","",SUM(Input!J$3:J$202))</f>
        <v>0</v>
      </c>
      <c r="K3" s="4">
        <f>IF(K$1="","",SUM(Input!K$3:K$202))</f>
        <v>0</v>
      </c>
      <c r="L3" s="4">
        <f>IF(L$1="","",SUM(Input!L$3:L$202))</f>
        <v>0</v>
      </c>
      <c r="M3" s="4">
        <f>IF(M$1="","",SUM(Input!M$3:M$202))</f>
        <v>0</v>
      </c>
      <c r="N3" s="4" t="str">
        <f>IF(N$1="","",SUM(Input!N$3:N$202))</f>
        <v/>
      </c>
      <c r="O3" s="4" t="str">
        <f>IF(O$1="","",SUM(Input!O$3:O$202))</f>
        <v/>
      </c>
      <c r="P3" s="4" t="str">
        <f>IF(P$1="","",SUM(Input!P$3:P$202))</f>
        <v/>
      </c>
      <c r="Q3" s="4" t="str">
        <f>IF(Q$1="","",SUM(Input!Q$3:Q$202))</f>
        <v/>
      </c>
      <c r="R3" s="4" t="str">
        <f>IF(R$1="","",SUM(Input!R$3:R$202))</f>
        <v/>
      </c>
      <c r="S3" s="4" t="str">
        <f>IF(S$1="","",SUM(Input!S$3:S$202))</f>
        <v/>
      </c>
      <c r="T3" s="4" t="str">
        <f>IF(T$1="","",SUM(Input!T$3:T$202))</f>
        <v/>
      </c>
      <c r="U3" s="4" t="str">
        <f>IF(U$1="","",SUM(Input!U$3:U$202))</f>
        <v/>
      </c>
      <c r="V3" s="4" t="str">
        <f>IF(V$1="","",SUM(Input!V$3:V$202))</f>
        <v/>
      </c>
      <c r="W3" s="4" t="str">
        <f>IF(W$1="","",SUM(Input!W$3:W$202))</f>
        <v/>
      </c>
      <c r="X3" s="4" t="str">
        <f>IF(X$1="","",SUM(Input!X$3:X$202))</f>
        <v/>
      </c>
      <c r="Y3" s="4" t="str">
        <f>IF(Y$1="","",SUM(Input!Y$3:Y$202))</f>
        <v/>
      </c>
      <c r="Z3" s="4" t="str">
        <f>IF(Z$1="","",SUM(Input!Z$3:Z$202))</f>
        <v/>
      </c>
      <c r="AA3" s="4" t="str">
        <f>IF(AA$1="","",SUM(Input!AA$3:AA$202))</f>
        <v/>
      </c>
      <c r="AB3" s="4" t="str">
        <f>IF(AB$1="","",SUM(Input!AB$3:AB$202))</f>
        <v/>
      </c>
      <c r="AC3" s="4" t="str">
        <f>IF(AC$1="","",SUM(Input!AC$3:AC$202))</f>
        <v/>
      </c>
      <c r="AD3" s="4" t="str">
        <f>IF(AD$1="","",SUM(Input!AD$3:AD$202))</f>
        <v/>
      </c>
      <c r="AE3" s="4" t="str">
        <f>IF(AE$1="","",SUM(Input!AE$3:AE$202))</f>
        <v/>
      </c>
      <c r="AF3" s="4" t="str">
        <f>IF(AF$1="","",SUM(Input!AF$3:AF$202))</f>
        <v/>
      </c>
      <c r="AG3" s="4" t="str">
        <f>IF(AG$1="","",SUM(Input!AG$3:AG$202))</f>
        <v/>
      </c>
      <c r="AH3" s="4" t="str">
        <f>IF(AH$1="","",SUM(Input!AH$3:AH$202))</f>
        <v/>
      </c>
      <c r="AI3" s="4" t="str">
        <f>IF(AI$1="","",SUM(Input!AI$3:AI$202))</f>
        <v/>
      </c>
      <c r="AJ3" s="4" t="str">
        <f>IF(AJ$1="","",SUM(Input!AJ$3:AJ$202))</f>
        <v/>
      </c>
      <c r="AK3" s="4" t="str">
        <f>IF(AK$1="","",SUM(Input!AK$3:AK$202))</f>
        <v/>
      </c>
      <c r="AL3" s="4" t="str">
        <f>IF(AL$1="","",SUM(Input!AL$3:AL$202))</f>
        <v/>
      </c>
      <c r="AM3" s="4" t="str">
        <f>IF(AM$1="","",SUM(Input!AM$3:AM$202))</f>
        <v/>
      </c>
      <c r="AN3" s="4" t="str">
        <f>IF(AN$1="","",SUM(Input!AN$3:AN$202))</f>
        <v/>
      </c>
      <c r="AO3" s="4" t="str">
        <f>IF(AO$1="","",SUM(Input!AO$3:AO$202))</f>
        <v/>
      </c>
      <c r="AP3" s="4" t="str">
        <f>IF(AP$1="","",SUM(Input!AP$3:AP$202))</f>
        <v/>
      </c>
      <c r="AQ3" s="4" t="str">
        <f>IF(AQ$1="","",SUM(Input!AQ$3:AQ$202))</f>
        <v/>
      </c>
      <c r="AR3" s="4" t="str">
        <f>IF(AR$1="","",SUM(Input!AR$3:AR$202))</f>
        <v/>
      </c>
      <c r="AS3" s="4" t="str">
        <f>IF(AS$1="","",SUM(Input!AS$3:AS$202))</f>
        <v/>
      </c>
      <c r="AT3" s="4" t="str">
        <f>IF(AT$1="","",SUM(Input!AT$3:AT$202))</f>
        <v/>
      </c>
      <c r="AU3" s="4" t="str">
        <f>IF(AU$1="","",SUM(Input!AU$3:AU$202))</f>
        <v/>
      </c>
      <c r="AV3" s="4" t="str">
        <f>IF(AV$1="","",SUM(Input!AV$3:AV$202))</f>
        <v/>
      </c>
      <c r="AW3" s="4" t="str">
        <f>IF(AW$1="","",SUM(Input!AW$3:AW$202))</f>
        <v/>
      </c>
      <c r="AX3" s="4" t="str">
        <f>IF(AX$1="","",SUM(Input!AX$3:AX$202))</f>
        <v/>
      </c>
      <c r="AY3" s="4" t="str">
        <f>IF(AY$1="","",SUM(Input!AY$3:AY$202))</f>
        <v/>
      </c>
      <c r="AZ3" s="4" t="str">
        <f>IF(AZ$1="","",SUM(Input!AZ$3:AZ$202))</f>
        <v/>
      </c>
      <c r="BA3" s="4" t="str">
        <f>IF(BA$1="","",SUM(Input!BA$3:BA$202))</f>
        <v/>
      </c>
      <c r="BB3" s="4" t="str">
        <f>IF(BB$1="","",SUM(Input!BB$3:BB$202))</f>
        <v/>
      </c>
      <c r="BC3" s="4" t="str">
        <f>IF(BC$1="","",SUM(Input!BC$3:BC$202))</f>
        <v/>
      </c>
      <c r="BD3" s="4" t="str">
        <f>IF(BD$1="","",SUM(Input!BD$3:BD$202))</f>
        <v/>
      </c>
      <c r="BE3" s="4" t="str">
        <f>IF(BE$1="","",SUM(Input!BE$3:BE$202))</f>
        <v/>
      </c>
      <c r="BF3" s="4" t="str">
        <f>IF(BF$1="","",SUM(Input!BF$3:BF$202))</f>
        <v/>
      </c>
      <c r="BG3" s="4" t="str">
        <f>IF(BG$1="","",SUM(Input!BG$3:BG$202))</f>
        <v/>
      </c>
      <c r="BH3" s="4" t="str">
        <f>IF(BH$1="","",SUM(Input!BH$3:BH$202))</f>
        <v/>
      </c>
      <c r="BI3" s="4" t="str">
        <f>IF(BI$1="","",SUM(Input!BI$3:BI$202))</f>
        <v/>
      </c>
      <c r="BJ3" s="4" t="str">
        <f>IF(BJ$1="","",SUM(Input!BJ$3:BJ$202))</f>
        <v/>
      </c>
    </row>
    <row r="4" spans="1:62" x14ac:dyDescent="0.2">
      <c r="A4" s="1" t="s">
        <v>5</v>
      </c>
      <c r="B4" s="2">
        <v>0</v>
      </c>
      <c r="C4">
        <f ca="1">IF(C$1="","",CountCTs(Input!C$3:C$202))</f>
        <v>0</v>
      </c>
      <c r="D4">
        <f ca="1">IF(D$1="","",CountCTs(Input!D$3:D$202))</f>
        <v>0</v>
      </c>
      <c r="E4">
        <f ca="1">IF(E$1="","",CountCTs(Input!E$3:E$202))</f>
        <v>0</v>
      </c>
      <c r="F4">
        <f ca="1">IF(F$1="","",CountCTs(Input!F$3:F$202))</f>
        <v>0</v>
      </c>
      <c r="G4">
        <f ca="1">IF(G$1="","",CountCTs(Input!G$3:G$202))</f>
        <v>0</v>
      </c>
      <c r="H4">
        <f ca="1">IF(H$1="","",CountCTs(Input!H$3:H$202))</f>
        <v>0</v>
      </c>
      <c r="I4">
        <f ca="1">IF(I$1="","",CountCTs(Input!I$3:I$202))</f>
        <v>0</v>
      </c>
      <c r="J4">
        <f ca="1">IF(J$1="","",CountCTs(Input!J$3:J$202))</f>
        <v>0</v>
      </c>
      <c r="K4">
        <f ca="1">IF(K$1="","",CountCTs(Input!K$3:K$202))</f>
        <v>0</v>
      </c>
      <c r="L4">
        <f ca="1">IF(L$1="","",CountCTs(Input!L$3:L$202))</f>
        <v>0</v>
      </c>
      <c r="M4">
        <f ca="1">IF(M$1="","",CountCTs(Input!M$3:M$202))</f>
        <v>0</v>
      </c>
      <c r="N4" t="str">
        <f>IF(N$1="","",CountCTs(Input!N$3:N$202))</f>
        <v/>
      </c>
      <c r="O4" t="str">
        <f>IF(O$1="","",CountCTs(Input!O$3:O$202))</f>
        <v/>
      </c>
      <c r="P4" t="str">
        <f>IF(P$1="","",CountCTs(Input!P$3:P$202))</f>
        <v/>
      </c>
      <c r="Q4" t="str">
        <f>IF(Q$1="","",CountCTs(Input!Q$3:Q$202))</f>
        <v/>
      </c>
      <c r="R4" t="str">
        <f>IF(R$1="","",CountCTs(Input!R$3:R$202))</f>
        <v/>
      </c>
      <c r="S4" t="str">
        <f>IF(S$1="","",CountCTs(Input!S$3:S$202))</f>
        <v/>
      </c>
      <c r="T4" t="str">
        <f>IF(T$1="","",CountCTs(Input!T$3:T$202))</f>
        <v/>
      </c>
      <c r="U4" t="str">
        <f>IF(U$1="","",CountCTs(Input!U$3:U$202))</f>
        <v/>
      </c>
      <c r="V4" t="str">
        <f>IF(V$1="","",CountCTs(Input!V$3:V$202))</f>
        <v/>
      </c>
      <c r="W4" t="str">
        <f>IF(W$1="","",CountCTs(Input!W$3:W$202))</f>
        <v/>
      </c>
      <c r="X4" t="str">
        <f>IF(X$1="","",CountCTs(Input!X$3:X$202))</f>
        <v/>
      </c>
      <c r="Y4" t="str">
        <f>IF(Y$1="","",CountCTs(Input!Y$3:Y$202))</f>
        <v/>
      </c>
      <c r="Z4" t="str">
        <f>IF(Z$1="","",CountCTs(Input!Z$3:Z$202))</f>
        <v/>
      </c>
      <c r="AA4" t="str">
        <f>IF(AA$1="","",CountCTs(Input!AA$3:AA$202))</f>
        <v/>
      </c>
      <c r="AB4" t="str">
        <f>IF(AB$1="","",CountCTs(Input!AB$3:AB$202))</f>
        <v/>
      </c>
      <c r="AC4" t="str">
        <f>IF(AC$1="","",CountCTs(Input!AC$3:AC$202))</f>
        <v/>
      </c>
      <c r="AD4" t="str">
        <f>IF(AD$1="","",CountCTs(Input!AD$3:AD$202))</f>
        <v/>
      </c>
      <c r="AE4" t="str">
        <f>IF(AE$1="","",CountCTs(Input!AE$3:AE$202))</f>
        <v/>
      </c>
      <c r="AF4" t="str">
        <f>IF(AF$1="","",CountCTs(Input!AF$3:AF$202))</f>
        <v/>
      </c>
      <c r="AG4" t="str">
        <f>IF(AG$1="","",CountCTs(Input!AG$3:AG$202))</f>
        <v/>
      </c>
      <c r="AH4" t="str">
        <f>IF(AH$1="","",CountCTs(Input!AH$3:AH$202))</f>
        <v/>
      </c>
      <c r="AI4" t="str">
        <f>IF(AI$1="","",CountCTs(Input!AI$3:AI$202))</f>
        <v/>
      </c>
      <c r="AJ4" t="str">
        <f>IF(AJ$1="","",CountCTs(Input!AJ$3:AJ$202))</f>
        <v/>
      </c>
      <c r="AK4" t="str">
        <f>IF(AK$1="","",CountCTs(Input!AK$3:AK$202))</f>
        <v/>
      </c>
      <c r="AL4" t="str">
        <f>IF(AL$1="","",CountCTs(Input!AL$3:AL$202))</f>
        <v/>
      </c>
      <c r="AM4" t="str">
        <f>IF(AM$1="","",CountCTs(Input!AM$3:AM$202))</f>
        <v/>
      </c>
      <c r="AN4" t="str">
        <f>IF(AN$1="","",CountCTs(Input!AN$3:AN$202))</f>
        <v/>
      </c>
      <c r="AO4" t="str">
        <f>IF(AO$1="","",CountCTs(Input!AO$3:AO$202))</f>
        <v/>
      </c>
      <c r="AP4" t="str">
        <f>IF(AP$1="","",CountCTs(Input!AP$3:AP$202))</f>
        <v/>
      </c>
      <c r="AQ4" t="str">
        <f>IF(AQ$1="","",CountCTs(Input!AQ$3:AQ$202))</f>
        <v/>
      </c>
      <c r="AR4" t="str">
        <f>IF(AR$1="","",CountCTs(Input!AR$3:AR$202))</f>
        <v/>
      </c>
      <c r="AS4" t="str">
        <f>IF(AS$1="","",CountCTs(Input!AS$3:AS$202))</f>
        <v/>
      </c>
      <c r="AT4" t="str">
        <f>IF(AT$1="","",CountCTs(Input!AT$3:AT$202))</f>
        <v/>
      </c>
      <c r="AU4" t="str">
        <f>IF(AU$1="","",CountCTs(Input!AU$3:AU$202))</f>
        <v/>
      </c>
      <c r="AV4" t="str">
        <f>IF(AV$1="","",CountCTs(Input!AV$3:AV$202))</f>
        <v/>
      </c>
      <c r="AW4" t="str">
        <f>IF(AW$1="","",CountCTs(Input!AW$3:AW$202))</f>
        <v/>
      </c>
      <c r="AX4" t="str">
        <f>IF(AX$1="","",CountCTs(Input!AX$3:AX$202))</f>
        <v/>
      </c>
      <c r="AY4" t="str">
        <f>IF(AY$1="","",CountCTs(Input!AY$3:AY$202))</f>
        <v/>
      </c>
      <c r="AZ4" t="str">
        <f>IF(AZ$1="","",CountCTs(Input!AZ$3:AZ$202))</f>
        <v/>
      </c>
      <c r="BA4" t="str">
        <f>IF(BA$1="","",CountCTs(Input!BA$3:BA$202))</f>
        <v/>
      </c>
      <c r="BB4" t="str">
        <f>IF(BB$1="","",CountCTs(Input!BB$3:BB$202))</f>
        <v/>
      </c>
      <c r="BC4" t="str">
        <f>IF(BC$1="","",CountCTs(Input!BC$3:BC$202))</f>
        <v/>
      </c>
      <c r="BD4" t="str">
        <f>IF(BD$1="","",CountCTs(Input!BD$3:BD$202))</f>
        <v/>
      </c>
      <c r="BE4" t="str">
        <f>IF(BE$1="","",CountCTs(Input!BE$3:BE$202))</f>
        <v/>
      </c>
      <c r="BF4" t="str">
        <f>IF(BF$1="","",CountCTs(Input!BF$3:BF$202))</f>
        <v/>
      </c>
      <c r="BG4" t="str">
        <f>IF(BG$1="","",CountCTs(Input!BG$3:BG$202))</f>
        <v/>
      </c>
      <c r="BH4" t="str">
        <f>IF(BH$1="","",CountCTs(Input!BH$3:BH$202))</f>
        <v/>
      </c>
      <c r="BI4" t="str">
        <f>IF(BI$1="","",CountCTs(Input!BI$3:BI$202))</f>
        <v/>
      </c>
      <c r="BJ4" t="str">
        <f>IF(BJ$1="","",CountCTs(Input!BJ$3:BJ$202))</f>
        <v/>
      </c>
    </row>
    <row r="5" spans="1:62" x14ac:dyDescent="0.2">
      <c r="A5" s="1" t="s">
        <v>6</v>
      </c>
      <c r="B5" s="2">
        <f>SUMPRODUCT(--(Input!$A$3:$A$202&lt;&gt;""))</f>
        <v>14</v>
      </c>
      <c r="C5">
        <f ca="1">IF(C$1="","",B$5-C4)</f>
        <v>14</v>
      </c>
      <c r="D5">
        <f t="shared" ref="D5:BJ5" ca="1" si="2">IF(D$1="","",C$5-D4)</f>
        <v>14</v>
      </c>
      <c r="E5">
        <f t="shared" ca="1" si="2"/>
        <v>14</v>
      </c>
      <c r="F5">
        <f t="shared" ca="1" si="2"/>
        <v>14</v>
      </c>
      <c r="G5">
        <f t="shared" ca="1" si="2"/>
        <v>14</v>
      </c>
      <c r="H5">
        <f t="shared" ca="1" si="2"/>
        <v>14</v>
      </c>
      <c r="I5">
        <f t="shared" ca="1" si="2"/>
        <v>14</v>
      </c>
      <c r="J5">
        <f t="shared" ca="1" si="2"/>
        <v>14</v>
      </c>
      <c r="K5">
        <f t="shared" ca="1" si="2"/>
        <v>14</v>
      </c>
      <c r="L5">
        <f t="shared" ca="1" si="2"/>
        <v>14</v>
      </c>
      <c r="M5">
        <f t="shared" ca="1" si="2"/>
        <v>14</v>
      </c>
      <c r="N5" t="str">
        <f t="shared" si="2"/>
        <v/>
      </c>
      <c r="O5" t="str">
        <f t="shared" si="2"/>
        <v/>
      </c>
      <c r="P5" t="str">
        <f t="shared" si="2"/>
        <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2">
      <c r="A7"/>
    </row>
    <row r="8" spans="1:62" x14ac:dyDescent="0.2">
      <c r="A8"/>
    </row>
    <row r="9" spans="1:62" x14ac:dyDescent="0.2">
      <c r="A9"/>
    </row>
    <row r="10" spans="1:62" x14ac:dyDescent="0.2">
      <c r="A10"/>
    </row>
    <row r="11" spans="1:62" x14ac:dyDescent="0.2">
      <c r="A11"/>
    </row>
    <row r="12" spans="1:62" x14ac:dyDescent="0.2">
      <c r="A12"/>
    </row>
    <row r="13" spans="1:62" x14ac:dyDescent="0.2">
      <c r="A13"/>
    </row>
    <row r="14" spans="1:62" x14ac:dyDescent="0.2">
      <c r="A1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Regneark</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Matthias Skou</cp:lastModifiedBy>
  <cp:lastPrinted>2016-02-23T08:42:38Z</cp:lastPrinted>
  <dcterms:created xsi:type="dcterms:W3CDTF">2016-02-23T08:35:30Z</dcterms:created>
  <dcterms:modified xsi:type="dcterms:W3CDTF">2018-11-30T13:07:08Z</dcterms:modified>
</cp:coreProperties>
</file>